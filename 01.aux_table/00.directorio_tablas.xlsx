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<sst xmlns="http://schemas.openxmlformats.org/spreadsheetml/2006/main" count="40" uniqueCount="40">
  <si>
    <t>cap</t>
  </si>
  <si>
    <t>link_cap</t>
  </si>
  <si>
    <t>id_cap</t>
  </si>
  <si>
    <t>demo_carapersonas.DTA</t>
  </si>
  <si>
    <t>https://drive.google.com/file/d/1ok_PATHQyuYVbMSl84QLn_H_YF5IaL9C/view?usp=drive_link</t>
  </si>
  <si>
    <t>demo_carapersonascierre.DTA</t>
  </si>
  <si>
    <t>https://drive.google.com/file/d/1NG-hhG1nYbFaycvWlNTAEpxNWprJe4Cv/view?usp=drive_link</t>
  </si>
  <si>
    <t>demo_datosvivienda.DTA</t>
  </si>
  <si>
    <t>https://drive.google.com/file/d/14i3DWpYJf8SrkWMORREfewOaXL0b7T7A/view?usp=drive_link</t>
  </si>
  <si>
    <t>d_extorsion.DTA</t>
  </si>
  <si>
    <t>https://drive.google.com/file/d/1sWN_e0DHw0qngmoumYGaeZHEBBjMglGz/view?usp=drive_link</t>
  </si>
  <si>
    <t>d_filtro_delitos.DTA</t>
  </si>
  <si>
    <t>https://drive.google.com/file/d/1Npysobz_sLLyVgSEYq3_CyImJVy3-_9I/view?usp=drive_link</t>
  </si>
  <si>
    <t>d_hurto_personas.DTA</t>
  </si>
  <si>
    <t>https://drive.google.com/file/d/1E4lMNtXUjYovwR0bRlIoqmxKBpE3TX7O/view?usp=drive_link</t>
  </si>
  <si>
    <t>d_hurto_ganado.DTA</t>
  </si>
  <si>
    <t>https://drive.google.com/file/d/1ot0r3mYUrEy9p5XpTBznawTZspiO4wTW/view?usp=drive_link</t>
  </si>
  <si>
    <t>1ot0r3mYUrEy9p5XpTBznawTZspiO4wTW</t>
  </si>
  <si>
    <t>d_hurto_residencia.DTA</t>
  </si>
  <si>
    <t>https://drive.google.com/file/d/1XUr6-hyvPPynxgSJb9jn43INu0hxiPg4/view?usp=drive_link</t>
  </si>
  <si>
    <t>d_hurto_vehi.DTA</t>
  </si>
  <si>
    <t>https://drive.google.com/file/d/15ZhrSTcXR7FaXYtWkJACarAEs12gHEN_/view?usp=drive_link</t>
  </si>
  <si>
    <t>15ZhrSTcXR7FaXYtWkJACarAEs12gHEN_</t>
  </si>
  <si>
    <t>d_perpseguridadbarrio.DTA</t>
  </si>
  <si>
    <t>https://drive.google.com/file/d/1iaAV0KaMDcIQTQEHum86d_HYqYGiWwLN/view?usp=drive_link</t>
  </si>
  <si>
    <t>d_perpconvivencia.DTA</t>
  </si>
  <si>
    <t>https://drive.google.com/file/d/12IuTXWiDWm8JuCwt2sbcXx_JSvMO1kjM/view?usp=drive_link</t>
  </si>
  <si>
    <t>d_perpseguridad.DTA</t>
  </si>
  <si>
    <t>https://drive.google.com/file/d/1pFxE8z5hcx-qVsWvgx1_lFQ_le4NFdV5/view?usp=drive_link</t>
  </si>
  <si>
    <t>enj_cc.DTA</t>
  </si>
  <si>
    <t>https://drive.google.com/file/d/1Ln416eKejca9fzBuS_Aeqq3L9xYyxZSd/view?usp=drive_link</t>
  </si>
  <si>
    <t>enj_clp.CSV</t>
  </si>
  <si>
    <t>https://drive.google.com/file/d/11NSStuQ-_-4eZgDhV-wxWQ_zRGKtw7OL/view?usp=drive_link</t>
  </si>
  <si>
    <t>11NSStuQ-_-4eZgDhV-wxWQ_zRGKtw7OL</t>
  </si>
  <si>
    <t>enj_clsp.DTA</t>
  </si>
  <si>
    <t>https://drive.google.com/file/d/1gzQ6EV96plZl17YaidSbVxO46lWIDZ6b/view?usp=drive_link</t>
  </si>
  <si>
    <t>d_rinas_peleas.DTA</t>
  </si>
  <si>
    <t>https://drive.google.com/file/d/1XB5li078oq3LTVQvacW7xf-xvkZbui2A/view?usp=drive_link</t>
  </si>
  <si>
    <t>demo_hogares.DTA</t>
  </si>
  <si>
    <t>https://drive.google.com/file/d/1Mbm4WoShtglr34TMWinPnXrAwBOY1dkj/view?usp=drive_link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</si>
</sst>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2IuTXWiDWm8JuCwt2sbcXx_JSvMO1kjM/view?usp=drive_link" TargetMode="External"/><Relationship Id="rId10" Type="http://schemas.openxmlformats.org/officeDocument/2006/relationships/hyperlink" Target="https://drive.google.com/file/d/1iaAV0KaMDcIQTQEHum86d_HYqYGiWwLN/view?usp=drive_link" TargetMode="External"/><Relationship Id="rId13" Type="http://schemas.openxmlformats.org/officeDocument/2006/relationships/hyperlink" Target="https://drive.google.com/file/d/1Ln416eKejca9fzBuS_Aeqq3L9xYyxZSd/view?usp=drive_link" TargetMode="External"/><Relationship Id="rId12" Type="http://schemas.openxmlformats.org/officeDocument/2006/relationships/hyperlink" Target="https://drive.google.com/file/d/1pFxE8z5hcx-qVsWvgx1_lFQ_le4NFdV5/view?usp=drive_link" TargetMode="External"/><Relationship Id="rId1" Type="http://schemas.openxmlformats.org/officeDocument/2006/relationships/hyperlink" Target="https://drive.google.com/file/d/1ok_PATHQyuYVbMSl84QLn_H_YF5IaL9C/view?usp=drive_link" TargetMode="External"/><Relationship Id="rId2" Type="http://schemas.openxmlformats.org/officeDocument/2006/relationships/hyperlink" Target="https://drive.google.com/file/d/1NG-hhG1nYbFaycvWlNTAEpxNWprJe4Cv/view?usp=drive_link" TargetMode="External"/><Relationship Id="rId3" Type="http://schemas.openxmlformats.org/officeDocument/2006/relationships/hyperlink" Target="https://drive.google.com/file/d/14i3DWpYJf8SrkWMORREfewOaXL0b7T7A/view?usp=drive_link" TargetMode="External"/><Relationship Id="rId4" Type="http://schemas.openxmlformats.org/officeDocument/2006/relationships/hyperlink" Target="https://drive.google.com/file/d/1sWN_e0DHw0qngmoumYGaeZHEBBjMglGz/view?usp=drive_link" TargetMode="External"/><Relationship Id="rId9" Type="http://schemas.openxmlformats.org/officeDocument/2006/relationships/hyperlink" Target="https://drive.google.com/file/d/15ZhrSTcXR7FaXYtWkJACarAEs12gHEN_/view?usp=drive_link" TargetMode="External"/><Relationship Id="rId15" Type="http://schemas.openxmlformats.org/officeDocument/2006/relationships/hyperlink" Target="https://drive.google.com/file/d/1gzQ6EV96plZl17YaidSbVxO46lWIDZ6b/view?usp=drive_link" TargetMode="External"/><Relationship Id="rId14" Type="http://schemas.openxmlformats.org/officeDocument/2006/relationships/hyperlink" Target="https://drive.google.com/file/d/11NSStuQ-_-4eZgDhV-wxWQ_zRGKtw7OL/view?usp=drive_link" TargetMode="External"/><Relationship Id="rId17" Type="http://schemas.openxmlformats.org/officeDocument/2006/relationships/hyperlink" Target="https://drive.google.com/file/d/1Mbm4WoShtglr34TMWinPnXrAwBOY1dkj/view?usp=drive_link" TargetMode="External"/><Relationship Id="rId16" Type="http://schemas.openxmlformats.org/officeDocument/2006/relationships/hyperlink" Target="https://drive.google.com/file/d/1XB5li078oq3LTVQvacW7xf-xvkZbui2A/view?usp=drive_link" TargetMode="External"/><Relationship Id="rId5" Type="http://schemas.openxmlformats.org/officeDocument/2006/relationships/hyperlink" Target="https://drive.google.com/file/d/1Npysobz_sLLyVgSEYq3_CyImJVy3-_9I/view?usp=drive_link" TargetMode="External"/><Relationship Id="rId6" Type="http://schemas.openxmlformats.org/officeDocument/2006/relationships/hyperlink" Target="https://drive.google.com/file/d/1E4lMNtXUjYovwR0bRlIoqmxKBpE3TX7O/view?usp=drive_lin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ot0r3mYUrEy9p5XpTBznawTZspiO4wTW/view?usp=drive_link" TargetMode="External"/><Relationship Id="rId8" Type="http://schemas.openxmlformats.org/officeDocument/2006/relationships/hyperlink" Target="https://drive.google.com/file/d/1XUr6-hyvPPynxgSJb9jn43INu0hxiPg4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9.0"/>
    <col customWidth="1" min="3" max="3" width="35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tr">
        <f t="shared" ref="C2:C7" si="1">MID(B2,FIND(CHAR(160),SUBSTITUTE(B2,"/",CHAR(160),5)) + 1,FIND(CHAR(160),SUBSTITUTE(B2,"/",CHAR(160),6)) - 1 - (FIND(CHAR(160),SUBSTITUTE(B2,"/",CHAR(160),5))))</f>
        <v>1ok_PATHQyuYVbMSl84QLn_H_YF5IaL9C</v>
      </c>
      <c r="G2" s="3"/>
    </row>
    <row r="3">
      <c r="A3" s="1" t="s">
        <v>5</v>
      </c>
      <c r="B3" s="4" t="s">
        <v>6</v>
      </c>
      <c r="C3" s="1" t="str">
        <f t="shared" si="1"/>
        <v>1NG-hhG1nYbFaycvWlNTAEpxNWprJe4Cv</v>
      </c>
    </row>
    <row r="4">
      <c r="A4" s="1" t="s">
        <v>7</v>
      </c>
      <c r="B4" s="4" t="s">
        <v>8</v>
      </c>
      <c r="C4" s="5" t="str">
        <f t="shared" si="1"/>
        <v>14i3DWpYJf8SrkWMORREfewOaXL0b7T7A</v>
      </c>
    </row>
    <row r="5">
      <c r="A5" s="1" t="s">
        <v>9</v>
      </c>
      <c r="B5" s="2" t="s">
        <v>10</v>
      </c>
      <c r="C5" s="5" t="str">
        <f t="shared" si="1"/>
        <v>1sWN_e0DHw0qngmoumYGaeZHEBBjMglGz</v>
      </c>
    </row>
    <row r="6">
      <c r="A6" s="1" t="s">
        <v>11</v>
      </c>
      <c r="B6" s="2" t="s">
        <v>12</v>
      </c>
      <c r="C6" s="5" t="str">
        <f t="shared" si="1"/>
        <v>1Npysobz_sLLyVgSEYq3_CyImJVy3-_9I</v>
      </c>
    </row>
    <row r="7">
      <c r="A7" s="1" t="s">
        <v>13</v>
      </c>
      <c r="B7" s="4" t="s">
        <v>14</v>
      </c>
      <c r="C7" s="5" t="str">
        <f t="shared" si="1"/>
        <v>1E4lMNtXUjYovwR0bRlIoqmxKBpE3TX7O</v>
      </c>
    </row>
    <row r="8">
      <c r="A8" s="1" t="s">
        <v>15</v>
      </c>
      <c r="B8" s="4" t="s">
        <v>16</v>
      </c>
      <c r="C8" s="1" t="s">
        <v>17</v>
      </c>
    </row>
    <row r="9">
      <c r="A9" s="1" t="s">
        <v>18</v>
      </c>
      <c r="B9" s="2" t="s">
        <v>19</v>
      </c>
      <c r="C9" s="5" t="str">
        <f>MID(B9,FIND(CHAR(160),SUBSTITUTE(B9,"/",CHAR(160),5)) + 1,FIND(CHAR(160),SUBSTITUTE(B9,"/",CHAR(160),6)) - 1 - (FIND(CHAR(160),SUBSTITUTE(B9,"/",CHAR(160),5))))</f>
        <v>1XUr6-hyvPPynxgSJb9jn43INu0hxiPg4</v>
      </c>
    </row>
    <row r="10">
      <c r="A10" s="1" t="s">
        <v>20</v>
      </c>
      <c r="B10" s="4" t="s">
        <v>21</v>
      </c>
      <c r="C10" s="1" t="s">
        <v>22</v>
      </c>
    </row>
    <row r="11">
      <c r="A11" s="1" t="s">
        <v>23</v>
      </c>
      <c r="B11" s="2" t="s">
        <v>24</v>
      </c>
      <c r="C11" s="5" t="str">
        <f t="shared" ref="C11:C14" si="2">MID(B11,FIND(CHAR(160),SUBSTITUTE(B11,"/",CHAR(160),5)) + 1,FIND(CHAR(160),SUBSTITUTE(B11,"/",CHAR(160),6)) - 1 - (FIND(CHAR(160),SUBSTITUTE(B11,"/",CHAR(160),5))))</f>
        <v>1iaAV0KaMDcIQTQEHum86d_HYqYGiWwLN</v>
      </c>
    </row>
    <row r="12">
      <c r="A12" s="1" t="s">
        <v>25</v>
      </c>
      <c r="B12" s="2" t="s">
        <v>26</v>
      </c>
      <c r="C12" s="5" t="str">
        <f t="shared" si="2"/>
        <v>12IuTXWiDWm8JuCwt2sbcXx_JSvMO1kjM</v>
      </c>
    </row>
    <row r="13">
      <c r="A13" s="1" t="s">
        <v>27</v>
      </c>
      <c r="B13" s="2" t="s">
        <v>28</v>
      </c>
      <c r="C13" s="5" t="str">
        <f t="shared" si="2"/>
        <v>1pFxE8z5hcx-qVsWvgx1_lFQ_le4NFdV5</v>
      </c>
    </row>
    <row r="14">
      <c r="A14" s="1" t="s">
        <v>29</v>
      </c>
      <c r="B14" s="2" t="s">
        <v>30</v>
      </c>
      <c r="C14" s="5" t="str">
        <f t="shared" si="2"/>
        <v>1Ln416eKejca9fzBuS_Aeqq3L9xYyxZSd</v>
      </c>
    </row>
    <row r="15">
      <c r="A15" s="1" t="s">
        <v>31</v>
      </c>
      <c r="B15" s="4" t="s">
        <v>32</v>
      </c>
      <c r="C15" s="1" t="s">
        <v>33</v>
      </c>
    </row>
    <row r="16">
      <c r="A16" s="1" t="s">
        <v>34</v>
      </c>
      <c r="B16" s="2" t="s">
        <v>35</v>
      </c>
      <c r="C16" s="5" t="str">
        <f t="shared" ref="C16:C18" si="3">MID(B16,FIND(CHAR(160),SUBSTITUTE(B16,"/",CHAR(160),5)) + 1,FIND(CHAR(160),SUBSTITUTE(B16,"/",CHAR(160),6)) - 1 - (FIND(CHAR(160),SUBSTITUTE(B16,"/",CHAR(160),5))))</f>
        <v>1gzQ6EV96plZl17YaidSbVxO46lWIDZ6b</v>
      </c>
    </row>
    <row r="17">
      <c r="A17" s="1" t="s">
        <v>36</v>
      </c>
      <c r="B17" s="2" t="s">
        <v>37</v>
      </c>
      <c r="C17" s="5" t="str">
        <f t="shared" si="3"/>
        <v>1XB5li078oq3LTVQvacW7xf-xvkZbui2A</v>
      </c>
    </row>
    <row r="18">
      <c r="A18" s="1" t="s">
        <v>38</v>
      </c>
      <c r="B18" s="2" t="s">
        <v>39</v>
      </c>
      <c r="C18" s="5" t="str">
        <f t="shared" si="3"/>
        <v>1Mbm4WoShtglr34TMWinPnXrAwBOY1dkj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